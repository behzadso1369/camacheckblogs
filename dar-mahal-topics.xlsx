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ارشناسی در محل" sheetId="1" state="visible" r:id="rId1"/>
    <sheet name="شرق تهران" sheetId="2" state="visible" r:id="rId2"/>
    <sheet name="راهنما و خلاصه" sheetId="3" state="visible" r:id="rId3"/>
  </sheets>
  <definedNames>
    <definedName name="_xlnm._FilterDatabase" localSheetId="0" hidden="1">'کارشناسی در محل'!$A$1:$K$60</definedName>
    <definedName name="_xlnm._FilterDatabase" localSheetId="1" hidden="1">'شرق تهران'!$A$1:$K$8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 readingOrder="2"/>
    </xf>
    <xf numFmtId="0" fontId="2" fillId="0" borderId="1" applyAlignment="1" pivotButton="0" quotePrefix="0" xfId="0">
      <alignment horizontal="center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wrapText="1" readingOrder="2"/>
    </xf>
    <xf numFmtId="0" fontId="2" fillId="0" borderId="0" applyAlignment="1" pivotButton="0" quotePrefix="0" xfId="0">
      <alignment horizontal="right" wrapText="1" readingOrder="2"/>
    </xf>
  </cellXfs>
  <cellStyles count="1">
    <cellStyle name="Normal" xfId="0" builtinId="0" hidden="0"/>
  </cellStyles>
  <dxfs count="5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E2EFDA"/>
        </patternFill>
      </fill>
    </dxf>
    <dxf>
      <font>
        <name val="Arial"/>
        <b val="1"/>
        <color rgb="00006100"/>
      </font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62" customWidth="1" min="3" max="3"/>
    <col width="58" customWidth="1" min="4" max="4"/>
    <col width="36" customWidth="1" min="5" max="5"/>
    <col width="14" customWidth="1" min="6" max="6"/>
    <col width="10" customWidth="1" min="7" max="7"/>
    <col width="44" customWidth="1" min="8" max="8"/>
    <col width="12" customWidth="1" min="9" max="9"/>
    <col width="26" customWidth="1" min="10" max="10"/>
    <col width="14" customWidth="1" min="11" max="11"/>
  </cols>
  <sheetData>
    <row r="1">
      <c r="A1" s="1" t="inlineStr">
        <is>
          <t>ردیف</t>
        </is>
      </c>
      <c r="B1" s="1" t="inlineStr">
        <is>
          <t>دسته</t>
        </is>
      </c>
      <c r="C1" s="1" t="inlineStr">
        <is>
          <t>عنوان بلاگ</t>
        </is>
      </c>
      <c r="D1" s="1" t="inlineStr">
        <is>
          <t>عبارت‌های هدف (از گوگل)</t>
        </is>
      </c>
      <c r="E1" s="1" t="inlineStr">
        <is>
          <t>ارزش برای کاربر</t>
        </is>
      </c>
      <c r="F1" s="1" t="inlineStr">
        <is>
          <t>تأیید در Autocomplete</t>
        </is>
      </c>
      <c r="G1" s="1" t="inlineStr">
        <is>
          <t>اولویت</t>
        </is>
      </c>
      <c r="H1" s="1" t="inlineStr">
        <is>
          <t>یادداشت / ادغام</t>
        </is>
      </c>
      <c r="I1" s="1" t="inlineStr">
        <is>
          <t>وضعیت</t>
        </is>
      </c>
      <c r="J1" s="1" t="inlineStr">
        <is>
          <t>پوشه</t>
        </is>
      </c>
      <c r="K1" s="1" t="inlineStr">
        <is>
          <t>تاریخ انتشار</t>
        </is>
      </c>
    </row>
    <row r="2">
      <c r="A2" s="2" t="n">
        <v>1</v>
      </c>
      <c r="B2" s="3" t="inlineStr">
        <is>
          <t>سؤال‌های قبل از رزرو</t>
        </is>
      </c>
      <c r="C2" s="3" t="inlineStr">
        <is>
          <t>قیمت کارشناسی خودرو ۱۴۰۵: در محل، حضوری، دیوار و آنلاین (جدول کامل)</t>
        </is>
      </c>
      <c r="D2" s="3" t="inlineStr">
        <is>
          <t>قیمت کارشناسی خودرو، هزینه کارشناسی خودرو در محل، قیمت کارشناسی خودرو چقدر است، هزینه کارشناسی خودرو پراید</t>
        </is>
      </c>
      <c r="E2" s="3" t="inlineStr">
        <is>
          <t>جدول هزینهٔ انواع کارشناسی و عوامل اثرگذار بر قیمت</t>
        </is>
      </c>
      <c r="F2" s="2" t="inlineStr">
        <is>
          <t>بله</t>
        </is>
      </c>
      <c r="G2" s="2" t="inlineStr">
        <is>
          <t>بالا</t>
        </is>
      </c>
      <c r="H2" s="3" t="inlineStr">
        <is>
          <t>قیمت‌ها با تاریخ درج و هر ماه به‌روز شوند</t>
        </is>
      </c>
      <c r="I2" s="2" t="inlineStr">
        <is>
          <t>در انتظار</t>
        </is>
      </c>
      <c r="J2" s="3" t="n"/>
      <c r="K2" s="3" t="n"/>
    </row>
    <row r="3">
      <c r="A3" s="2" t="n">
        <v>2</v>
      </c>
      <c r="B3" s="3" t="inlineStr">
        <is>
          <t>سؤال‌های قبل از رزرو</t>
        </is>
      </c>
      <c r="C3" s="3" t="inlineStr">
        <is>
          <t>برگهٔ کارشناسی خودرو: نمونه PDF خام رایگان + اعتبار + از کجا بگیریم</t>
        </is>
      </c>
      <c r="D3" s="3" t="inlineStr">
        <is>
          <t>برگه کارشناسی خودرو pdf رایگان، فرم خام کارشناسی خودرو، نمونه فرم کارشناسی خودرو، برگه کارشناسی خودرو از کجا بگیریم</t>
        </is>
      </c>
      <c r="E3" s="3" t="inlineStr">
        <is>
          <t>فرم قابل دانلود + توضیح هر بخش برگه</t>
        </is>
      </c>
      <c r="F3" s="2" t="inlineStr">
        <is>
          <t>بله</t>
        </is>
      </c>
      <c r="G3" s="2" t="inlineStr">
        <is>
          <t>بالا</t>
        </is>
      </c>
      <c r="H3" s="3" t="inlineStr">
        <is>
          <t>فایل PDF دانلودی جذب بک‌لینک می‌کند</t>
        </is>
      </c>
      <c r="I3" s="2" t="inlineStr">
        <is>
          <t>در انتظار</t>
        </is>
      </c>
      <c r="J3" s="3" t="n"/>
      <c r="K3" s="3" t="n"/>
    </row>
    <row r="4">
      <c r="A4" s="2" t="n">
        <v>3</v>
      </c>
      <c r="B4" s="3" t="inlineStr">
        <is>
          <t>سؤال‌های قبل از رزرو</t>
        </is>
      </c>
      <c r="C4" s="3" t="inlineStr">
        <is>
          <t>کارشناسی خودرو رایگان: واقعاً وجود دارد؟ + ۱۵ چیزی که خودتان مجانی چک کنید</t>
        </is>
      </c>
      <c r="D4" s="3" t="inlineStr">
        <is>
          <t>کارشناسی خودرو رایگان</t>
        </is>
      </c>
      <c r="E4" s="3" t="inlineStr">
        <is>
          <t>چک‌لیست بررسی رایگان توسط خود خریدار</t>
        </is>
      </c>
      <c r="F4" s="2" t="inlineStr">
        <is>
          <t>بله</t>
        </is>
      </c>
      <c r="G4" s="2" t="inlineStr">
        <is>
          <t>بالا</t>
        </is>
      </c>
      <c r="H4" s="3" t="inlineStr"/>
      <c r="I4" s="2" t="inlineStr">
        <is>
          <t>در انتظار</t>
        </is>
      </c>
      <c r="J4" s="3" t="n"/>
      <c r="K4" s="3" t="n"/>
    </row>
    <row r="5">
      <c r="A5" s="2" t="n">
        <v>4</v>
      </c>
      <c r="B5" s="3" t="inlineStr">
        <is>
          <t>سؤال‌های قبل از رزرو</t>
        </is>
      </c>
      <c r="C5" s="3" t="inlineStr">
        <is>
          <t>کارشناسی خودرو با ضمانت: کارشناس اشتباه کند، چه کسی جواب می‌دهد؟</t>
        </is>
      </c>
      <c r="D5" s="3" t="inlineStr">
        <is>
          <t>کارشناسی خودرو با ضمانت</t>
        </is>
      </c>
      <c r="E5" s="3" t="inlineStr">
        <is>
          <t>شفاف‌سازی ضمانت و حدود مسئولیت کارشناس</t>
        </is>
      </c>
      <c r="F5" s="2" t="inlineStr">
        <is>
          <t>بله</t>
        </is>
      </c>
      <c r="G5" s="2" t="inlineStr">
        <is>
          <t>بالا</t>
        </is>
      </c>
      <c r="H5" s="3" t="inlineStr">
        <is>
          <t>با ردیف‌های «کارشناس اشتباه کرد» و «۲ هفته بعد خراب شد» به هم لینک شوند</t>
        </is>
      </c>
      <c r="I5" s="2" t="inlineStr">
        <is>
          <t>در انتظار</t>
        </is>
      </c>
      <c r="J5" s="3" t="n"/>
      <c r="K5" s="3" t="n"/>
    </row>
    <row r="6">
      <c r="A6" s="2" t="n">
        <v>5</v>
      </c>
      <c r="B6" s="3" t="inlineStr">
        <is>
          <t>سؤال‌های قبل از رزرو</t>
        </is>
      </c>
      <c r="C6" s="3" t="inlineStr">
        <is>
          <t>دیاگ سیار در تهران: کی لازم است و در محل چه چیزی را نشان می‌دهد؟</t>
        </is>
      </c>
      <c r="D6" s="3" t="inlineStr">
        <is>
          <t>دیاگ سیار تهران، دیاگ سیار خودرو، دیاگ زن سیار</t>
        </is>
      </c>
      <c r="E6" s="3" t="inlineStr">
        <is>
          <t>کاربرد واقعی دیاگ و محدودیت‌هایش</t>
        </is>
      </c>
      <c r="F6" s="2" t="inlineStr">
        <is>
          <t>بله</t>
        </is>
      </c>
      <c r="G6" s="2" t="inlineStr">
        <is>
          <t>بالا</t>
        </is>
      </c>
      <c r="H6" s="3" t="inlineStr">
        <is>
          <t>به بلاگ موجود diag-khodro-ghabl-az-kharid لینک شود</t>
        </is>
      </c>
      <c r="I6" s="2" t="inlineStr">
        <is>
          <t>در انتظار</t>
        </is>
      </c>
      <c r="J6" s="3" t="n"/>
      <c r="K6" s="3" t="n"/>
    </row>
    <row r="7">
      <c r="A7" s="2" t="n">
        <v>6</v>
      </c>
      <c r="B7" s="3" t="inlineStr">
        <is>
          <t>سؤال‌های قبل از رزرو</t>
        </is>
      </c>
      <c r="C7" s="3" t="inlineStr">
        <is>
          <t>در مرکز تعویض پلاک ماشین را کارشناسی می‌کنند؟ فرقش با کارشناسی واقعی</t>
        </is>
      </c>
      <c r="D7" s="3" t="inlineStr">
        <is>
          <t>کارشناسی خودرو در تعویض پلاک</t>
        </is>
      </c>
      <c r="E7" s="3" t="inlineStr">
        <is>
          <t>رفع تصور غلط رایج دربارهٔ بازدید تعویض پلاک</t>
        </is>
      </c>
      <c r="F7" s="2" t="inlineStr">
        <is>
          <t>بله</t>
        </is>
      </c>
      <c r="G7" s="2" t="inlineStr">
        <is>
          <t>بالا</t>
        </is>
      </c>
      <c r="H7" s="3" t="inlineStr"/>
      <c r="I7" s="2" t="inlineStr">
        <is>
          <t>در انتظار</t>
        </is>
      </c>
      <c r="J7" s="3" t="n"/>
      <c r="K7" s="3" t="n"/>
    </row>
    <row r="8">
      <c r="A8" s="2" t="n">
        <v>7</v>
      </c>
      <c r="B8" s="3" t="inlineStr">
        <is>
          <t>سؤال‌های قبل از رزرو</t>
        </is>
      </c>
      <c r="C8" s="3" t="inlineStr">
        <is>
          <t>کارشناسی دیوار چیست و چه فرقی با کارشناس مستقل در محل دارد؟</t>
        </is>
      </c>
      <c r="D8" s="3" t="inlineStr">
        <is>
          <t>کارشناسی دیوار، کارشناس خودرو دیوار، قیمت کارشناسی خودرو دیوار</t>
        </is>
      </c>
      <c r="E8" s="3" t="inlineStr">
        <is>
          <t>مقایسهٔ منصفانه برای انتخاب</t>
        </is>
      </c>
      <c r="F8" s="2" t="inlineStr">
        <is>
          <t>بله</t>
        </is>
      </c>
      <c r="G8" s="2" t="inlineStr">
        <is>
          <t>متوسط</t>
        </is>
      </c>
      <c r="H8" s="3" t="inlineStr">
        <is>
          <t>فقط اطلاعات قابل تأیید دربارهٔ دیوار نوشته شود</t>
        </is>
      </c>
      <c r="I8" s="2" t="inlineStr">
        <is>
          <t>در انتظار</t>
        </is>
      </c>
      <c r="J8" s="3" t="n"/>
      <c r="K8" s="3" t="n"/>
    </row>
    <row r="9">
      <c r="A9" s="2" t="n">
        <v>8</v>
      </c>
      <c r="B9" s="3" t="inlineStr">
        <is>
          <t>سؤال‌های قبل از رزرو</t>
        </is>
      </c>
      <c r="C9" s="3" t="inlineStr">
        <is>
          <t>کارشناسی خودرو آنلاین: از روی عکس و ویدیو چقدر قابل اعتماد است؟</t>
        </is>
      </c>
      <c r="D9" s="3" t="inlineStr">
        <is>
          <t>کارشناسی خودرو آنلاین، کارشناسی ماشین انلاین</t>
        </is>
      </c>
      <c r="E9" s="3" t="inlineStr">
        <is>
          <t>مرز چیزهایی که از راه دور قابل تشخیص است</t>
        </is>
      </c>
      <c r="F9" s="2" t="inlineStr">
        <is>
          <t>بله</t>
        </is>
      </c>
      <c r="G9" s="2" t="inlineStr">
        <is>
          <t>متوسط</t>
        </is>
      </c>
      <c r="H9" s="3" t="inlineStr">
        <is>
          <t>هم‌پوشانی با موضوع #41 فایل blog-topics (حضوری vs اپلیکیشن)</t>
        </is>
      </c>
      <c r="I9" s="2" t="inlineStr">
        <is>
          <t>در انتظار</t>
        </is>
      </c>
      <c r="J9" s="3" t="n"/>
      <c r="K9" s="3" t="n"/>
    </row>
    <row r="10">
      <c r="A10" s="2" t="n">
        <v>9</v>
      </c>
      <c r="B10" s="3" t="inlineStr">
        <is>
          <t>سؤال‌های قبل از رزرو</t>
        </is>
      </c>
      <c r="C10" s="3" t="inlineStr">
        <is>
          <t>کارشناسی خودرو تلفنی یا در محل؟ آنچه پشت تلفن نمی‌شود فهمید</t>
        </is>
      </c>
      <c r="D10" s="3" t="inlineStr">
        <is>
          <t>کارشناسی خودرو تلفنی</t>
        </is>
      </c>
      <c r="E10" s="3" t="inlineStr"/>
      <c r="F10" s="2" t="inlineStr">
        <is>
          <t>بله</t>
        </is>
      </c>
      <c r="G10" s="2" t="inlineStr">
        <is>
          <t>پایین</t>
        </is>
      </c>
      <c r="H10" s="3" t="inlineStr">
        <is>
          <t>قابل ادغام با «کارشناسی آنلاین»</t>
        </is>
      </c>
      <c r="I10" s="2" t="inlineStr">
        <is>
          <t>در انتظار</t>
        </is>
      </c>
      <c r="J10" s="3" t="n"/>
      <c r="K10" s="3" t="n"/>
    </row>
    <row r="11">
      <c r="A11" s="2" t="n">
        <v>10</v>
      </c>
      <c r="B11" s="3" t="inlineStr">
        <is>
          <t>سؤال‌های قبل از رزرو</t>
        </is>
      </c>
      <c r="C11" s="3" t="inlineStr">
        <is>
          <t>کارشناسی خودرو چقدر طول می‌کشد؟ زمان‌بندی دقیقه‌به‌دقیقه برای رنگ، فنی و دیاگ</t>
        </is>
      </c>
      <c r="D11" s="3" t="inlineStr">
        <is>
          <t>کارشناسی خودرو چقدر طول میکشد، کارشناسی رنگ خودرو چقدر طول میکشد</t>
        </is>
      </c>
      <c r="E11" s="3" t="inlineStr">
        <is>
          <t>برنامه‌ریزی زمان با فروشنده</t>
        </is>
      </c>
      <c r="F11" s="2" t="inlineStr">
        <is>
          <t>بله</t>
        </is>
      </c>
      <c r="G11" s="2" t="inlineStr">
        <is>
          <t>متوسط</t>
        </is>
      </c>
      <c r="H11" s="3" t="inlineStr"/>
      <c r="I11" s="2" t="inlineStr">
        <is>
          <t>در انتظار</t>
        </is>
      </c>
      <c r="J11" s="3" t="n"/>
      <c r="K11" s="3" t="n"/>
    </row>
    <row r="12">
      <c r="A12" s="2" t="n">
        <v>11</v>
      </c>
      <c r="B12" s="3" t="inlineStr">
        <is>
          <t>سؤال‌های قبل از رزرو</t>
        </is>
      </c>
      <c r="C12" s="3" t="inlineStr">
        <is>
          <t>کارشناسی خودرو جمعه، تعطیلات و شب: آخر هفته چه چیزی را نمی‌شود چک کرد؟</t>
        </is>
      </c>
      <c r="D12" s="3" t="inlineStr">
        <is>
          <t>کارشناسی خودرو جمعه، کارشناسی خودرو ۲۴ ساعته، کارشناسی خودرو شبانه روزی، کارشناسی خودرو شبانه</t>
        </is>
      </c>
      <c r="E12" s="3" t="inlineStr">
        <is>
          <t>زمان‌بندی واقعی و ریسک کارشناسی در نور کم</t>
        </is>
      </c>
      <c r="F12" s="2" t="inlineStr">
        <is>
          <t>بله</t>
        </is>
      </c>
      <c r="G12" s="2" t="inlineStr">
        <is>
          <t>متوسط</t>
        </is>
      </c>
      <c r="H12" s="3" t="inlineStr">
        <is>
          <t>ادغام دو موضوع «شبانه» و «جمعه و تعطیلات»</t>
        </is>
      </c>
      <c r="I12" s="2" t="inlineStr">
        <is>
          <t>در انتظار</t>
        </is>
      </c>
      <c r="J12" s="3" t="n"/>
      <c r="K12" s="3" t="n"/>
    </row>
    <row r="13">
      <c r="A13" s="2" t="n">
        <v>12</v>
      </c>
      <c r="B13" s="3" t="inlineStr">
        <is>
          <t>سؤال‌های قبل از رزرو</t>
        </is>
      </c>
      <c r="C13" s="3" t="inlineStr">
        <is>
          <t>کارشناسی خودرو فوری: فروشنده عجله دارد، در ۲ ساعت چه کنیم؟</t>
        </is>
      </c>
      <c r="D13" s="3" t="inlineStr">
        <is>
          <t>کارشناسی خودرو فوری</t>
        </is>
      </c>
      <c r="E13" s="3" t="inlineStr"/>
      <c r="F13" s="2" t="inlineStr">
        <is>
          <t>بله</t>
        </is>
      </c>
      <c r="G13" s="2" t="inlineStr">
        <is>
          <t>متوسط</t>
        </is>
      </c>
      <c r="H13" s="3" t="inlineStr"/>
      <c r="I13" s="2" t="inlineStr">
        <is>
          <t>در انتظار</t>
        </is>
      </c>
      <c r="J13" s="3" t="n"/>
      <c r="K13" s="3" t="n"/>
    </row>
    <row r="14">
      <c r="A14" s="2" t="n">
        <v>13</v>
      </c>
      <c r="B14" s="3" t="inlineStr">
        <is>
          <t>سؤال‌های قبل از رزرو</t>
        </is>
      </c>
      <c r="C14" s="3" t="inlineStr">
        <is>
          <t>کارشناسی خودرو خارجی در محل: هزینه و تفاوتش با خودروی ایرانی</t>
        </is>
      </c>
      <c r="D14" s="3" t="inlineStr">
        <is>
          <t>کارشناسی خودرو خارجی، هزینه کارشناسی خودرو خارجی</t>
        </is>
      </c>
      <c r="E14" s="3" t="inlineStr"/>
      <c r="F14" s="2" t="inlineStr">
        <is>
          <t>بله</t>
        </is>
      </c>
      <c r="G14" s="2" t="inlineStr">
        <is>
          <t>متوسط</t>
        </is>
      </c>
      <c r="H14" s="3" t="inlineStr"/>
      <c r="I14" s="2" t="inlineStr">
        <is>
          <t>در انتظار</t>
        </is>
      </c>
      <c r="J14" s="3" t="n"/>
      <c r="K14" s="3" t="n"/>
    </row>
    <row r="15">
      <c r="A15" s="2" t="n">
        <v>14</v>
      </c>
      <c r="B15" s="3" t="inlineStr">
        <is>
          <t>سؤال‌های قبل از رزرو</t>
        </is>
      </c>
      <c r="C15" s="3" t="inlineStr">
        <is>
          <t>کارشناسی خودرو برقی و هیبرید: باتری را چطور چک کنیم؟</t>
        </is>
      </c>
      <c r="D15" s="3" t="inlineStr">
        <is>
          <t>کارشناسی خودرو برقی</t>
        </is>
      </c>
      <c r="E15" s="3" t="inlineStr"/>
      <c r="F15" s="2" t="inlineStr">
        <is>
          <t>بله</t>
        </is>
      </c>
      <c r="G15" s="2" t="inlineStr">
        <is>
          <t>پایین</t>
        </is>
      </c>
      <c r="H15" s="3" t="inlineStr"/>
      <c r="I15" s="2" t="inlineStr">
        <is>
          <t>در انتظار</t>
        </is>
      </c>
      <c r="J15" s="3" t="n"/>
      <c r="K15" s="3" t="n"/>
    </row>
    <row r="16">
      <c r="A16" s="2" t="n">
        <v>15</v>
      </c>
      <c r="B16" s="3" t="inlineStr">
        <is>
          <t>سؤال‌های قبل از رزرو</t>
        </is>
      </c>
      <c r="C16" s="3" t="inlineStr">
        <is>
          <t>بهترین جا و ساعت برای کارشناسی؛ کوچه، پارکینگ یا نمایشگاه؟ شب یا روز؟</t>
        </is>
      </c>
      <c r="D16" s="3" t="inlineStr"/>
      <c r="E16" s="3" t="inlineStr">
        <is>
          <t>انتخاب محل با نور و شیب مناسب</t>
        </is>
      </c>
      <c r="F16" s="2" t="inlineStr">
        <is>
          <t>خیر</t>
        </is>
      </c>
      <c r="G16" s="2" t="inlineStr">
        <is>
          <t>پایین</t>
        </is>
      </c>
      <c r="H16" s="3" t="inlineStr">
        <is>
          <t>قابل ادغام با «جمعه، تعطیلات و شب»</t>
        </is>
      </c>
      <c r="I16" s="2" t="inlineStr">
        <is>
          <t>در انتظار</t>
        </is>
      </c>
      <c r="J16" s="3" t="n"/>
      <c r="K16" s="3" t="n"/>
    </row>
    <row r="17">
      <c r="A17" s="2" t="n">
        <v>16</v>
      </c>
      <c r="B17" s="3" t="inlineStr">
        <is>
          <t>سؤال‌های قبل از رزرو</t>
        </is>
      </c>
      <c r="C17" s="3" t="inlineStr">
        <is>
          <t>کارشناسی در نمایشگاه ماشین؛ نمایشگاه‌دار حق دارد مخالفت کند؟</t>
        </is>
      </c>
      <c r="D17" s="3" t="inlineStr"/>
      <c r="E17" s="3" t="inlineStr"/>
      <c r="F17" s="2" t="inlineStr">
        <is>
          <t>خیر</t>
        </is>
      </c>
      <c r="G17" s="2" t="inlineStr">
        <is>
          <t>پایین</t>
        </is>
      </c>
      <c r="H17" s="3" t="inlineStr"/>
      <c r="I17" s="2" t="inlineStr">
        <is>
          <t>در انتظار</t>
        </is>
      </c>
      <c r="J17" s="3" t="n"/>
      <c r="K17" s="3" t="n"/>
    </row>
    <row r="18">
      <c r="A18" s="2" t="n">
        <v>17</v>
      </c>
      <c r="B18" s="3" t="inlineStr">
        <is>
          <t>ابزار و روش کارشناسی</t>
        </is>
      </c>
      <c r="C18" s="3" t="inlineStr">
        <is>
          <t>کارشناس سیار با خودش چه چیزی می‌آورد؟ ضخامت‌سنج، دیاگ، آندوسکوپ و…</t>
        </is>
      </c>
      <c r="D18" s="3" t="inlineStr"/>
      <c r="E18" s="3" t="inlineStr">
        <is>
          <t>شناخت ابزار و اعتماد به کارشناس</t>
        </is>
      </c>
      <c r="F18" s="2" t="inlineStr">
        <is>
          <t>خیر</t>
        </is>
      </c>
      <c r="G18" s="2" t="inlineStr">
        <is>
          <t>متوسط</t>
        </is>
      </c>
      <c r="H18" s="3" t="inlineStr"/>
      <c r="I18" s="2" t="inlineStr">
        <is>
          <t>در انتظار</t>
        </is>
      </c>
      <c r="J18" s="3" t="n"/>
      <c r="K18" s="3" t="n"/>
    </row>
    <row r="19">
      <c r="A19" s="2" t="n">
        <v>18</v>
      </c>
      <c r="B19" s="3" t="inlineStr">
        <is>
          <t>ابزار و روش کارشناسی</t>
        </is>
      </c>
      <c r="C19" s="3" t="inlineStr">
        <is>
          <t>ضخامت رنگ استاندارد خودروهای ایرانی: جدول فابریک هر مدل</t>
        </is>
      </c>
      <c r="D19" s="3" t="inlineStr">
        <is>
          <t>ضخامت رنگ خودرو چقدر است، ضخامت رنگ استاندارد خودرو، ضخامت رنگ فابریک خودرو، ضخامت رنگ تارا، ضخامت رنگ دو پوششه</t>
        </is>
      </c>
      <c r="E19" s="3" t="inlineStr">
        <is>
          <t>جدول عدد فابریک برای مقایسه</t>
        </is>
      </c>
      <c r="F19" s="2" t="inlineStr">
        <is>
          <t>بله</t>
        </is>
      </c>
      <c r="G19" s="2" t="inlineStr">
        <is>
          <t>بالا</t>
        </is>
      </c>
      <c r="H19" s="3" t="inlineStr">
        <is>
          <t>قابل ادغام با «ضخامت‌سنج رنگ خودرو»</t>
        </is>
      </c>
      <c r="I19" s="2" t="inlineStr">
        <is>
          <t>در انتظار</t>
        </is>
      </c>
      <c r="J19" s="3" t="n"/>
      <c r="K19" s="3" t="n"/>
    </row>
    <row r="20">
      <c r="A20" s="2" t="n">
        <v>19</v>
      </c>
      <c r="B20" s="3" t="inlineStr">
        <is>
          <t>ابزار و روش کارشناسی</t>
        </is>
      </c>
      <c r="C20" s="3" t="inlineStr">
        <is>
          <t>ضخامت‌سنج رنگ خودرو: عددها چه می‌گویند؟ جدول میکرون</t>
        </is>
      </c>
      <c r="D20" s="3" t="inlineStr">
        <is>
          <t>ضخامت سنج رنگ خودرو</t>
        </is>
      </c>
      <c r="E20" s="3" t="inlineStr">
        <is>
          <t>تفسیر عدد ضخامت‌سنج</t>
        </is>
      </c>
      <c r="F20" s="2" t="inlineStr">
        <is>
          <t>بله</t>
        </is>
      </c>
      <c r="G20" s="2" t="inlineStr">
        <is>
          <t>متوسط</t>
        </is>
      </c>
      <c r="H20" s="3" t="inlineStr">
        <is>
          <t>قابل ادغام با «ضخامت رنگ استاندارد»</t>
        </is>
      </c>
      <c r="I20" s="2" t="inlineStr">
        <is>
          <t>در انتظار</t>
        </is>
      </c>
      <c r="J20" s="3" t="n"/>
      <c r="K20" s="3" t="n"/>
    </row>
    <row r="21">
      <c r="A21" s="2" t="n">
        <v>20</v>
      </c>
      <c r="B21" s="3" t="inlineStr">
        <is>
          <t>ابزار و روش کارشناسی</t>
        </is>
      </c>
      <c r="C21" s="3" t="inlineStr">
        <is>
          <t>کارشناسی خودرو با لامپ UV: چه چیزی را نشان می‌دهد و چه چیزی را نه؟</t>
        </is>
      </c>
      <c r="D21" s="3" t="inlineStr">
        <is>
          <t>کارشناسی خودرو با uv</t>
        </is>
      </c>
      <c r="E21" s="3" t="inlineStr"/>
      <c r="F21" s="2" t="inlineStr">
        <is>
          <t>بله</t>
        </is>
      </c>
      <c r="G21" s="2" t="inlineStr">
        <is>
          <t>متوسط</t>
        </is>
      </c>
      <c r="H21" s="3" t="inlineStr"/>
      <c r="I21" s="2" t="inlineStr">
        <is>
          <t>در انتظار</t>
        </is>
      </c>
      <c r="J21" s="3" t="n"/>
      <c r="K21" s="3" t="n"/>
    </row>
    <row r="22">
      <c r="A22" s="2" t="n">
        <v>21</v>
      </c>
      <c r="B22" s="3" t="inlineStr">
        <is>
          <t>ابزار و روش کارشناسی</t>
        </is>
      </c>
      <c r="C22" s="3" t="inlineStr">
        <is>
          <t>کارشناسی بدنه خودرو در محل: کارشناس سر کوچه چه چیزی را می‌بیند و چه چیزی را نه؟</t>
        </is>
      </c>
      <c r="D22" s="3" t="inlineStr">
        <is>
          <t>کارشناسی بدنه خودرو در محل، کارشناسی بدنه و فنی خودرو</t>
        </is>
      </c>
      <c r="E22" s="3" t="inlineStr"/>
      <c r="F22" s="2" t="inlineStr">
        <is>
          <t>بله</t>
        </is>
      </c>
      <c r="G22" s="2" t="inlineStr">
        <is>
          <t>متوسط</t>
        </is>
      </c>
      <c r="H22" s="3" t="inlineStr">
        <is>
          <t>مراقب هم‌پوشانی با صفحهٔ /car-inspection</t>
        </is>
      </c>
      <c r="I22" s="2" t="inlineStr">
        <is>
          <t>در انتظار</t>
        </is>
      </c>
      <c r="J22" s="3" t="n"/>
      <c r="K22" s="3" t="n"/>
    </row>
    <row r="23">
      <c r="A23" s="2" t="n">
        <v>22</v>
      </c>
      <c r="B23" s="3" t="inlineStr">
        <is>
          <t>مسیر خرید: قبل از کارشناسی</t>
        </is>
      </c>
      <c r="C23" s="3" t="inlineStr">
        <is>
          <t>موقع خرید ماشین چه سؤال‌هایی بپرسیم؟ ۱۵ سؤال قبل و ۱۰ سؤال حین کارشناسی</t>
        </is>
      </c>
      <c r="D23" s="3" t="inlineStr">
        <is>
          <t>موقع خرید ماشین چه سوالاتی بپرسیم، هنگام خرید خودرو چه سوالاتی بپرسیم</t>
        </is>
      </c>
      <c r="E23" s="3" t="inlineStr">
        <is>
          <t>فهرست سؤال آماده + جواب‌های زنگ خطر</t>
        </is>
      </c>
      <c r="F23" s="2" t="inlineStr">
        <is>
          <t>بله</t>
        </is>
      </c>
      <c r="G23" s="2" t="inlineStr">
        <is>
          <t>بالا</t>
        </is>
      </c>
      <c r="H23" s="3" t="inlineStr">
        <is>
          <t>ادغام با «۱۰ سؤال تلفنی قبل از راه افتادن»</t>
        </is>
      </c>
      <c r="I23" s="2" t="inlineStr">
        <is>
          <t>در انتظار</t>
        </is>
      </c>
      <c r="J23" s="3" t="n"/>
      <c r="K23" s="3" t="n"/>
    </row>
    <row r="24">
      <c r="A24" s="2" t="n">
        <v>23</v>
      </c>
      <c r="B24" s="3" t="inlineStr">
        <is>
          <t>مسیر خرید: قبل از کارشناسی</t>
        </is>
      </c>
      <c r="C24" s="3" t="inlineStr">
        <is>
          <t>قبل از آمدن کارشناس چه کنیم؟ چک‌لیست خریدار و فروشنده</t>
        </is>
      </c>
      <c r="D24" s="3" t="inlineStr">
        <is>
          <t>برای کارشناسی خودرو چه باید کرد</t>
        </is>
      </c>
      <c r="E24" s="3" t="inlineStr">
        <is>
          <t>موتور سرد، مدارک، جای پارک مناسب، سوئیچ یدک</t>
        </is>
      </c>
      <c r="F24" s="2" t="inlineStr">
        <is>
          <t>بله</t>
        </is>
      </c>
      <c r="G24" s="2" t="inlineStr">
        <is>
          <t>بالا</t>
        </is>
      </c>
      <c r="H24" s="3" t="inlineStr">
        <is>
          <t>ادغام با «۷ هماهنگی با فروشنده قبل از رسیدن کارشناس»</t>
        </is>
      </c>
      <c r="I24" s="2" t="inlineStr">
        <is>
          <t>در انتظار</t>
        </is>
      </c>
      <c r="J24" s="3" t="n"/>
      <c r="K24" s="3" t="n"/>
    </row>
    <row r="25">
      <c r="A25" s="2" t="n">
        <v>24</v>
      </c>
      <c r="B25" s="3" t="inlineStr">
        <is>
          <t>مسیر خرید: قبل از کارشناسی</t>
        </is>
      </c>
      <c r="C25" s="3" t="inlineStr">
        <is>
          <t>استعلام‌های رایگان قبل از کارشناسی: خلافی، توقیف، سابقهٔ خسارت بیمه</t>
        </is>
      </c>
      <c r="D25" s="3" t="inlineStr">
        <is>
          <t>استعلامات قبل از خرید ماشین، استعلام پلاک ماشین قبل از خرید، هنگام خرید خودرو چه استعلاماتی لازم است</t>
        </is>
      </c>
      <c r="E25" s="3" t="inlineStr">
        <is>
          <t>مسیر قدم‌به‌قدم هر استعلام</t>
        </is>
      </c>
      <c r="F25" s="2" t="inlineStr">
        <is>
          <t>بله</t>
        </is>
      </c>
      <c r="G25" s="2" t="inlineStr">
        <is>
          <t>بالا</t>
        </is>
      </c>
      <c r="H25" s="3" t="inlineStr">
        <is>
          <t>سامانه‌ها از منبع رسمی چک شوند</t>
        </is>
      </c>
      <c r="I25" s="2" t="inlineStr">
        <is>
          <t>در انتظار</t>
        </is>
      </c>
      <c r="J25" s="3" t="n"/>
      <c r="K25" s="3" t="n"/>
    </row>
    <row r="26">
      <c r="A26" s="2" t="n">
        <v>25</v>
      </c>
      <c r="B26" s="3" t="inlineStr">
        <is>
          <t>مسیر خرید: قبل از کارشناسی</t>
        </is>
      </c>
      <c r="C26" s="3" t="inlineStr">
        <is>
          <t>فروشنده اجازه نمی‌دهد کارشناس بیاید؛ یعنی چه و چه کنیم؟</t>
        </is>
      </c>
      <c r="D26" s="3" t="inlineStr"/>
      <c r="E26" s="3" t="inlineStr"/>
      <c r="F26" s="2" t="inlineStr">
        <is>
          <t>خیر</t>
        </is>
      </c>
      <c r="G26" s="2" t="inlineStr">
        <is>
          <t>متوسط</t>
        </is>
      </c>
      <c r="H26" s="3" t="inlineStr"/>
      <c r="I26" s="2" t="inlineStr">
        <is>
          <t>در انتظار</t>
        </is>
      </c>
      <c r="J26" s="3" t="n"/>
      <c r="K26" s="3" t="n"/>
    </row>
    <row r="27">
      <c r="A27" s="2" t="n">
        <v>26</v>
      </c>
      <c r="B27" s="3" t="inlineStr">
        <is>
          <t>مسیر خرید: قبل از کارشناسی</t>
        </is>
      </c>
      <c r="C27" s="3" t="inlineStr">
        <is>
          <t>«موتور را گرم کرده بود»؛ چرا کارشناس باید موتور سرد ببیند</t>
        </is>
      </c>
      <c r="D27" s="3" t="inlineStr"/>
      <c r="E27" s="3" t="inlineStr"/>
      <c r="F27" s="2" t="inlineStr">
        <is>
          <t>خیر</t>
        </is>
      </c>
      <c r="G27" s="2" t="inlineStr">
        <is>
          <t>متوسط</t>
        </is>
      </c>
      <c r="H27" s="3" t="inlineStr"/>
      <c r="I27" s="2" t="inlineStr">
        <is>
          <t>در انتظار</t>
        </is>
      </c>
      <c r="J27" s="3" t="n"/>
      <c r="K27" s="3" t="n"/>
    </row>
    <row r="28">
      <c r="A28" s="2" t="n">
        <v>27</v>
      </c>
      <c r="B28" s="3" t="inlineStr">
        <is>
          <t>مسیر خرید: قبل از کارشناسی</t>
        </is>
      </c>
      <c r="C28" s="3" t="inlineStr">
        <is>
          <t>از آگهی دیوار تا امضای قولنامه؛ کارشناس دقیقاً کجای مسیر وارد شود؟</t>
        </is>
      </c>
      <c r="D28" s="3" t="inlineStr">
        <is>
          <t>خرید ماشین دست دوم دیوار</t>
        </is>
      </c>
      <c r="E28" s="3" t="inlineStr"/>
      <c r="F28" s="2" t="inlineStr">
        <is>
          <t>جزئی</t>
        </is>
      </c>
      <c r="G28" s="2" t="inlineStr">
        <is>
          <t>متوسط</t>
        </is>
      </c>
      <c r="H28" s="3" t="inlineStr"/>
      <c r="I28" s="2" t="inlineStr">
        <is>
          <t>در انتظار</t>
        </is>
      </c>
      <c r="J28" s="3" t="n"/>
      <c r="K28" s="3" t="n"/>
    </row>
    <row r="29">
      <c r="A29" s="2" t="n">
        <v>28</v>
      </c>
      <c r="B29" s="3" t="inlineStr">
        <is>
          <t>مسیر خرید: قبل از کارشناسی</t>
        </is>
      </c>
      <c r="C29" s="3" t="inlineStr">
        <is>
          <t>بین ۳ آگهی ماندم؛ کارشناسی چند خودرو در یک روز</t>
        </is>
      </c>
      <c r="D29" s="3" t="inlineStr"/>
      <c r="E29" s="3" t="inlineStr"/>
      <c r="F29" s="2" t="inlineStr">
        <is>
          <t>خیر</t>
        </is>
      </c>
      <c r="G29" s="2" t="inlineStr">
        <is>
          <t>پایین</t>
        </is>
      </c>
      <c r="H29" s="3" t="inlineStr"/>
      <c r="I29" s="2" t="inlineStr">
        <is>
          <t>در انتظار</t>
        </is>
      </c>
      <c r="J29" s="3" t="n"/>
      <c r="K29" s="3" t="n"/>
    </row>
    <row r="30">
      <c r="A30" s="2" t="n">
        <v>29</v>
      </c>
      <c r="B30" s="3" t="inlineStr">
        <is>
          <t>مسیر خرید: قبل از کارشناسی</t>
        </is>
      </c>
      <c r="C30" s="3" t="inlineStr">
        <is>
          <t>ماشین در تهران است، من شهرستانم؛ خرید خودرو از راه دور بدون ضرر</t>
        </is>
      </c>
      <c r="D30" s="3" t="inlineStr"/>
      <c r="E30" s="3" t="inlineStr"/>
      <c r="F30" s="2" t="inlineStr">
        <is>
          <t>خیر</t>
        </is>
      </c>
      <c r="G30" s="2" t="inlineStr">
        <is>
          <t>متوسط</t>
        </is>
      </c>
      <c r="H30" s="3" t="inlineStr"/>
      <c r="I30" s="2" t="inlineStr">
        <is>
          <t>در انتظار</t>
        </is>
      </c>
      <c r="J30" s="3" t="n"/>
      <c r="K30" s="3" t="n"/>
    </row>
    <row r="31">
      <c r="A31" s="2" t="n">
        <v>30</v>
      </c>
      <c r="B31" s="3" t="inlineStr">
        <is>
          <t>مسیر خرید: قبل از کارشناسی</t>
        </is>
      </c>
      <c r="C31" s="3" t="inlineStr">
        <is>
          <t>خرید ماشین برای پدر و مادر یا بدون همراه؛ کارشناس به جای شما می‌رود</t>
        </is>
      </c>
      <c r="D31" s="3" t="inlineStr"/>
      <c r="E31" s="3" t="inlineStr"/>
      <c r="F31" s="2" t="inlineStr">
        <is>
          <t>خیر</t>
        </is>
      </c>
      <c r="G31" s="2" t="inlineStr">
        <is>
          <t>پایین</t>
        </is>
      </c>
      <c r="H31" s="3" t="inlineStr"/>
      <c r="I31" s="2" t="inlineStr">
        <is>
          <t>در انتظار</t>
        </is>
      </c>
      <c r="J31" s="3" t="n"/>
      <c r="K31" s="3" t="n"/>
    </row>
    <row r="32">
      <c r="A32" s="2" t="n">
        <v>31</v>
      </c>
      <c r="B32" s="3" t="inlineStr">
        <is>
          <t>مسیر خرید: بعد از کارشناسی</t>
        </is>
      </c>
      <c r="C32" s="3" t="inlineStr">
        <is>
          <t>کارشناسی فنی یا کارشناسی قیمت؟ کارشناس در محل قیمت هم می‌دهد؟</t>
        </is>
      </c>
      <c r="D32" s="3" t="inlineStr">
        <is>
          <t>کارشناسی قیمت خودرو کارکرده، کارشناسی خودرو و قیمت گذاری</t>
        </is>
      </c>
      <c r="E32" s="3" t="inlineStr">
        <is>
          <t>تبدیل گزارش فنی به قیمت منصفانه</t>
        </is>
      </c>
      <c r="F32" s="2" t="inlineStr">
        <is>
          <t>بله</t>
        </is>
      </c>
      <c r="G32" s="2" t="inlineStr">
        <is>
          <t>متوسط</t>
        </is>
      </c>
      <c r="H32" s="3" t="inlineStr"/>
      <c r="I32" s="2" t="inlineStr">
        <is>
          <t>در انتظار</t>
        </is>
      </c>
      <c r="J32" s="3" t="n"/>
      <c r="K32" s="3" t="n"/>
    </row>
    <row r="33">
      <c r="A33" s="2" t="n">
        <v>32</v>
      </c>
      <c r="B33" s="3" t="inlineStr">
        <is>
          <t>مسیر خرید: بعد از کارشناسی</t>
        </is>
      </c>
      <c r="C33" s="3" t="inlineStr">
        <is>
          <t>گزارش کارشناسی ۳ ایراد داشت؛ بخرم یا نه؟</t>
        </is>
      </c>
      <c r="D33" s="3" t="inlineStr"/>
      <c r="E33" s="3" t="inlineStr">
        <is>
          <t>جدول «نخر / با تخفیف بخر / مهم نیست»</t>
        </is>
      </c>
      <c r="F33" s="2" t="inlineStr">
        <is>
          <t>خیر</t>
        </is>
      </c>
      <c r="G33" s="2" t="inlineStr">
        <is>
          <t>بالا</t>
        </is>
      </c>
      <c r="H33" s="3" t="inlineStr"/>
      <c r="I33" s="2" t="inlineStr">
        <is>
          <t>در انتظار</t>
        </is>
      </c>
      <c r="J33" s="3" t="n"/>
      <c r="K33" s="3" t="n"/>
    </row>
    <row r="34">
      <c r="A34" s="2" t="n">
        <v>33</v>
      </c>
      <c r="B34" s="3" t="inlineStr">
        <is>
          <t>مسیر خرید: بعد از کارشناسی</t>
        </is>
      </c>
      <c r="C34" s="3" t="inlineStr">
        <is>
          <t>هزینهٔ تعمیر ایرادهای رایج گزارش کارشناسی (۱۴۰۵)</t>
        </is>
      </c>
      <c r="D34" s="3" t="inlineStr"/>
      <c r="E34" s="3" t="inlineStr">
        <is>
          <t>جدول هزینهٔ تعمیر هر ایراد</t>
        </is>
      </c>
      <c r="F34" s="2" t="inlineStr">
        <is>
          <t>خیر</t>
        </is>
      </c>
      <c r="G34" s="2" t="inlineStr">
        <is>
          <t>بالا</t>
        </is>
      </c>
      <c r="H34" s="3" t="inlineStr">
        <is>
          <t>ترجیحاً با قیمت‌های واقعی تعمیرگاه‌ها و کارشناس‌های کارماچک</t>
        </is>
      </c>
      <c r="I34" s="2" t="inlineStr">
        <is>
          <t>در انتظار</t>
        </is>
      </c>
      <c r="J34" s="3" t="n"/>
      <c r="K34" s="3" t="n"/>
    </row>
    <row r="35">
      <c r="A35" s="2" t="n">
        <v>34</v>
      </c>
      <c r="B35" s="3" t="inlineStr">
        <is>
          <t>مسیر خرید: بعد از کارشناسی</t>
        </is>
      </c>
      <c r="C35" s="3" t="inlineStr">
        <is>
          <t>با گزارش کارشناسی چقدر از قیمت کم کنم؟ جمله‌به‌جمله</t>
        </is>
      </c>
      <c r="D35" s="3" t="inlineStr"/>
      <c r="E35" s="3" t="inlineStr">
        <is>
          <t>متن آمادهٔ چانه‌زنی</t>
        </is>
      </c>
      <c r="F35" s="2" t="inlineStr">
        <is>
          <t>خیر</t>
        </is>
      </c>
      <c r="G35" s="2" t="inlineStr">
        <is>
          <t>متوسط</t>
        </is>
      </c>
      <c r="H35" s="3" t="inlineStr"/>
      <c r="I35" s="2" t="inlineStr">
        <is>
          <t>در انتظار</t>
        </is>
      </c>
      <c r="J35" s="3" t="n"/>
      <c r="K35" s="3" t="n"/>
    </row>
    <row r="36">
      <c r="A36" s="2" t="n">
        <v>35</v>
      </c>
      <c r="B36" s="3" t="inlineStr">
        <is>
          <t>مسیر خرید: بعد از کارشناسی</t>
        </is>
      </c>
      <c r="C36" s="3" t="inlineStr">
        <is>
          <t>گزارش کارشناسی تا چند روز اعتبار دارد؟ اگر معامله عقب افتاد چه کنیم؟</t>
        </is>
      </c>
      <c r="D36" s="3" t="inlineStr">
        <is>
          <t>برگه کارشناسی خودرو چند روز اعتبار دارد، اعتبار کارشناسی خودرو</t>
        </is>
      </c>
      <c r="E36" s="3" t="inlineStr"/>
      <c r="F36" s="2" t="inlineStr">
        <is>
          <t>بله</t>
        </is>
      </c>
      <c r="G36" s="2" t="inlineStr">
        <is>
          <t>متوسط</t>
        </is>
      </c>
      <c r="H36" s="3" t="inlineStr"/>
      <c r="I36" s="2" t="inlineStr">
        <is>
          <t>در انتظار</t>
        </is>
      </c>
      <c r="J36" s="3" t="n"/>
      <c r="K36" s="3" t="n"/>
    </row>
    <row r="37">
      <c r="A37" s="2" t="n">
        <v>36</v>
      </c>
      <c r="B37" s="3" t="inlineStr">
        <is>
          <t>مسیر خرید: بعد از کارشناسی</t>
        </is>
      </c>
      <c r="C37" s="3" t="inlineStr">
        <is>
          <t>۶ بند که بعد از کارشناسی باید در قولنامه بنویسید</t>
        </is>
      </c>
      <c r="D37" s="3" t="inlineStr"/>
      <c r="E37" s="3" t="inlineStr">
        <is>
          <t>متن بندهای آماده</t>
        </is>
      </c>
      <c r="F37" s="2" t="inlineStr">
        <is>
          <t>خیر</t>
        </is>
      </c>
      <c r="G37" s="2" t="inlineStr">
        <is>
          <t>متوسط</t>
        </is>
      </c>
      <c r="H37" s="3" t="inlineStr"/>
      <c r="I37" s="2" t="inlineStr">
        <is>
          <t>در انتظار</t>
        </is>
      </c>
      <c r="J37" s="3" t="n"/>
      <c r="K37" s="3" t="n"/>
    </row>
    <row r="38">
      <c r="A38" s="2" t="n">
        <v>37</v>
      </c>
      <c r="B38" s="3" t="inlineStr">
        <is>
          <t>مسیر خرید: روز معامله</t>
        </is>
      </c>
      <c r="C38" s="3" t="inlineStr">
        <is>
          <t>روز معامله چه مدارکی باید تحویل بگیرید؟</t>
        </is>
      </c>
      <c r="D38" s="3" t="inlineStr">
        <is>
          <t>هنگام خرید خودرو چه مدارکی باید تحویل بگیریم، موقع خرید ماشین چه مدارکی لازم است</t>
        </is>
      </c>
      <c r="E38" s="3" t="inlineStr">
        <is>
          <t>چک‌لیست مدارک</t>
        </is>
      </c>
      <c r="F38" s="2" t="inlineStr">
        <is>
          <t>بله</t>
        </is>
      </c>
      <c r="G38" s="2" t="inlineStr">
        <is>
          <t>بالا</t>
        </is>
      </c>
      <c r="H38" s="3" t="inlineStr"/>
      <c r="I38" s="2" t="inlineStr">
        <is>
          <t>در انتظار</t>
        </is>
      </c>
      <c r="J38" s="3" t="n"/>
      <c r="K38" s="3" t="n"/>
    </row>
    <row r="39">
      <c r="A39" s="2" t="n">
        <v>38</v>
      </c>
      <c r="B39" s="3" t="inlineStr">
        <is>
          <t>مسیر خرید: روز معامله</t>
        </is>
      </c>
      <c r="C39" s="3" t="inlineStr">
        <is>
          <t>بین کارشناسی و تحویل، ماشین را عوض کردند! ۶ چیزی که روز تحویل دوباره چک کنید</t>
        </is>
      </c>
      <c r="D39" s="3" t="inlineStr">
        <is>
          <t>کارشناسی خودرو هنگام تحویل</t>
        </is>
      </c>
      <c r="E39" s="3" t="inlineStr">
        <is>
          <t>مقایسهٔ عکس روز کارشناسی با روز تحویل</t>
        </is>
      </c>
      <c r="F39" s="2" t="inlineStr">
        <is>
          <t>بله</t>
        </is>
      </c>
      <c r="G39" s="2" t="inlineStr">
        <is>
          <t>متوسط</t>
        </is>
      </c>
      <c r="H39" s="3" t="inlineStr"/>
      <c r="I39" s="2" t="inlineStr">
        <is>
          <t>در انتظار</t>
        </is>
      </c>
      <c r="J39" s="3" t="n"/>
      <c r="K39" s="3" t="n"/>
    </row>
    <row r="40">
      <c r="A40" s="2" t="n">
        <v>39</v>
      </c>
      <c r="B40" s="3" t="inlineStr">
        <is>
          <t>مسیر خرید: بعد از خرید</t>
        </is>
      </c>
      <c r="C40" s="3" t="inlineStr">
        <is>
          <t>کارشناس اشتباه کرد؛ مسیر پیگیری و شکایت</t>
        </is>
      </c>
      <c r="D40" s="3" t="inlineStr">
        <is>
          <t>کارشناسی اشتباه خودرو</t>
        </is>
      </c>
      <c r="E40" s="3" t="inlineStr"/>
      <c r="F40" s="2" t="inlineStr">
        <is>
          <t>بله</t>
        </is>
      </c>
      <c r="G40" s="2" t="inlineStr">
        <is>
          <t>متوسط</t>
        </is>
      </c>
      <c r="H40" s="3" t="inlineStr"/>
      <c r="I40" s="2" t="inlineStr">
        <is>
          <t>در انتظار</t>
        </is>
      </c>
      <c r="J40" s="3" t="n"/>
      <c r="K40" s="3" t="n"/>
    </row>
    <row r="41">
      <c r="A41" s="2" t="n">
        <v>40</v>
      </c>
      <c r="B41" s="3" t="inlineStr">
        <is>
          <t>مسیر خرید: بعد از خرید</t>
        </is>
      </c>
      <c r="C41" s="3" t="inlineStr">
        <is>
          <t>ماشین کارشناسی‌شده ۲ هفته بعد خراب شد؛ کی مسئول است؟</t>
        </is>
      </c>
      <c r="D41" s="3" t="inlineStr"/>
      <c r="E41" s="3" t="inlineStr"/>
      <c r="F41" s="2" t="inlineStr">
        <is>
          <t>خیر</t>
        </is>
      </c>
      <c r="G41" s="2" t="inlineStr">
        <is>
          <t>متوسط</t>
        </is>
      </c>
      <c r="H41" s="3" t="inlineStr"/>
      <c r="I41" s="2" t="inlineStr">
        <is>
          <t>در انتظار</t>
        </is>
      </c>
      <c r="J41" s="3" t="n"/>
      <c r="K41" s="3" t="n"/>
    </row>
    <row r="42">
      <c r="A42" s="2" t="n">
        <v>41</v>
      </c>
      <c r="B42" s="3" t="inlineStr">
        <is>
          <t>مسیر خرید: بعد از خرید</t>
        </is>
      </c>
      <c r="C42" s="3" t="inlineStr">
        <is>
          <t>ماشین را از صافکاری تحویل گرفتی؛ قبل از تسویه یک کارشناس بیاور</t>
        </is>
      </c>
      <c r="D42" s="3" t="inlineStr"/>
      <c r="E42" s="3" t="inlineStr"/>
      <c r="F42" s="2" t="inlineStr">
        <is>
          <t>خیر</t>
        </is>
      </c>
      <c r="G42" s="2" t="inlineStr">
        <is>
          <t>پایین</t>
        </is>
      </c>
      <c r="H42" s="3" t="inlineStr"/>
      <c r="I42" s="2" t="inlineStr">
        <is>
          <t>در انتظار</t>
        </is>
      </c>
      <c r="J42" s="3" t="n"/>
      <c r="K42" s="3" t="n"/>
    </row>
    <row r="43">
      <c r="A43" s="2" t="n">
        <v>42</v>
      </c>
      <c r="B43" s="3" t="inlineStr">
        <is>
          <t>فروشنده</t>
        </is>
      </c>
      <c r="C43" s="3" t="inlineStr">
        <is>
          <t>فروشنده‌ها بخوانند: گزارش کارشناسی را ضمیمهٔ آگهی کن، زودتر بفروش</t>
        </is>
      </c>
      <c r="D43" s="3" t="inlineStr">
        <is>
          <t>کارشناسی خودرو برای فروش</t>
        </is>
      </c>
      <c r="E43" s="3" t="inlineStr"/>
      <c r="F43" s="2" t="inlineStr">
        <is>
          <t>بله</t>
        </is>
      </c>
      <c r="G43" s="2" t="inlineStr">
        <is>
          <t>متوسط</t>
        </is>
      </c>
      <c r="H43" s="3" t="inlineStr"/>
      <c r="I43" s="2" t="inlineStr">
        <is>
          <t>در انتظار</t>
        </is>
      </c>
      <c r="J43" s="3" t="n"/>
      <c r="K43" s="3" t="n"/>
    </row>
    <row r="44">
      <c r="A44" s="2" t="n">
        <v>43</v>
      </c>
      <c r="B44" s="3" t="inlineStr">
        <is>
          <t>رنگ‌شدگی قطعه‌به‌قطعه</t>
        </is>
      </c>
      <c r="C44" s="3" t="inlineStr">
        <is>
          <t>رنگ‌شدگی سپر افت قیمت دارد؟ جواب با عدد</t>
        </is>
      </c>
      <c r="D44" s="3" t="inlineStr">
        <is>
          <t>رنگ شدگی سپر افت قیمت دارد</t>
        </is>
      </c>
      <c r="E44" s="3" t="inlineStr"/>
      <c r="F44" s="2" t="inlineStr">
        <is>
          <t>بله</t>
        </is>
      </c>
      <c r="G44" s="2" t="inlineStr">
        <is>
          <t>بالا</t>
        </is>
      </c>
      <c r="H44" s="3" t="inlineStr"/>
      <c r="I44" s="2" t="inlineStr">
        <is>
          <t>در انتظار</t>
        </is>
      </c>
      <c r="J44" s="3" t="n"/>
      <c r="K44" s="3" t="n"/>
    </row>
    <row r="45">
      <c r="A45" s="2" t="n">
        <v>44</v>
      </c>
      <c r="B45" s="3" t="inlineStr">
        <is>
          <t>رنگ‌شدگی قطعه‌به‌قطعه</t>
        </is>
      </c>
      <c r="C45" s="3" t="inlineStr">
        <is>
          <t>رنگ‌شدگی ستون و کلاف خودرو: چرا خطرناک‌تر از درب است؟</t>
        </is>
      </c>
      <c r="D45" s="3" t="inlineStr">
        <is>
          <t>رنگ شدگی ستون خودرو، رنگ شدگی کلاف خودرو</t>
        </is>
      </c>
      <c r="E45" s="3" t="inlineStr"/>
      <c r="F45" s="2" t="inlineStr">
        <is>
          <t>بله</t>
        </is>
      </c>
      <c r="G45" s="2" t="inlineStr">
        <is>
          <t>متوسط</t>
        </is>
      </c>
      <c r="H45" s="3" t="inlineStr"/>
      <c r="I45" s="2" t="inlineStr">
        <is>
          <t>در انتظار</t>
        </is>
      </c>
      <c r="J45" s="3" t="n"/>
      <c r="K45" s="3" t="n"/>
    </row>
    <row r="46">
      <c r="A46" s="2" t="n">
        <v>45</v>
      </c>
      <c r="B46" s="3" t="inlineStr">
        <is>
          <t>رنگ‌شدگی قطعه‌به‌قطعه</t>
        </is>
      </c>
      <c r="C46" s="3" t="inlineStr">
        <is>
          <t>رنگ‌شدگی کف صندوق: نشانهٔ تصادف از عقب؟</t>
        </is>
      </c>
      <c r="D46" s="3" t="inlineStr">
        <is>
          <t>رنگ شدگی کف صندوق</t>
        </is>
      </c>
      <c r="E46" s="3" t="inlineStr"/>
      <c r="F46" s="2" t="inlineStr">
        <is>
          <t>بله</t>
        </is>
      </c>
      <c r="G46" s="2" t="inlineStr">
        <is>
          <t>متوسط</t>
        </is>
      </c>
      <c r="H46" s="3" t="inlineStr"/>
      <c r="I46" s="2" t="inlineStr">
        <is>
          <t>در انتظار</t>
        </is>
      </c>
      <c r="J46" s="3" t="n"/>
      <c r="K46" s="3" t="n"/>
    </row>
    <row r="47">
      <c r="A47" s="2" t="n">
        <v>46</v>
      </c>
      <c r="B47" s="3" t="inlineStr">
        <is>
          <t>رنگ‌شدگی قطعه‌به‌قطعه</t>
        </is>
      </c>
      <c r="C47" s="3" t="inlineStr">
        <is>
          <t>رنگ‌شدگی مجدد کارخانه چیست و افت قیمت دارد؟</t>
        </is>
      </c>
      <c r="D47" s="3" t="inlineStr">
        <is>
          <t>رنگ شدگی مجدد کارخانه</t>
        </is>
      </c>
      <c r="E47" s="3" t="inlineStr"/>
      <c r="F47" s="2" t="inlineStr">
        <is>
          <t>بله</t>
        </is>
      </c>
      <c r="G47" s="2" t="inlineStr">
        <is>
          <t>متوسط</t>
        </is>
      </c>
      <c r="H47" s="3" t="inlineStr"/>
      <c r="I47" s="2" t="inlineStr">
        <is>
          <t>در انتظار</t>
        </is>
      </c>
      <c r="J47" s="3" t="n"/>
      <c r="K47" s="3" t="n"/>
    </row>
    <row r="48">
      <c r="A48" s="2" t="n">
        <v>47</v>
      </c>
      <c r="B48" s="3" t="inlineStr">
        <is>
          <t>مدل‌محور</t>
        </is>
      </c>
      <c r="C48" s="3" t="inlineStr">
        <is>
          <t>کارشناسی شاسی ۲۰۶، پژو پارس و ۴۰۵: نقاط جوش کارخانه و ردپای تعمیر</t>
        </is>
      </c>
      <c r="D48" s="3" t="inlineStr">
        <is>
          <t>کارشناسی شاسی ۲۰۶، کارشناسی شاسی پژو پارس، کارشناسی شاسی پژو 405</t>
        </is>
      </c>
      <c r="E48" s="3" t="inlineStr"/>
      <c r="F48" s="2" t="inlineStr">
        <is>
          <t>بله</t>
        </is>
      </c>
      <c r="G48" s="2" t="inlineStr">
        <is>
          <t>متوسط</t>
        </is>
      </c>
      <c r="H48" s="3" t="inlineStr">
        <is>
          <t>با بلاگ عمومی tashkhis-shasi-tasadofi-khodro تداخل ندارد</t>
        </is>
      </c>
      <c r="I48" s="2" t="inlineStr">
        <is>
          <t>در انتظار</t>
        </is>
      </c>
      <c r="J48" s="3" t="n"/>
      <c r="K48" s="3" t="n"/>
    </row>
    <row r="49">
      <c r="A49" s="2" t="n">
        <v>48</v>
      </c>
      <c r="B49" s="3" t="inlineStr">
        <is>
          <t>مدل‌محور</t>
        </is>
      </c>
      <c r="C49" s="3" t="inlineStr">
        <is>
          <t>کارشناسی شاسی پراید، تیبا و کوییک: کجا را نگاه کنیم؟</t>
        </is>
      </c>
      <c r="D49" s="3" t="inlineStr">
        <is>
          <t>کارشناسی شاسی پراید، کارشناسی شاسی تیبا، کارشناسی شاسی کوییک</t>
        </is>
      </c>
      <c r="E49" s="3" t="inlineStr"/>
      <c r="F49" s="2" t="inlineStr">
        <is>
          <t>بله</t>
        </is>
      </c>
      <c r="G49" s="2" t="inlineStr">
        <is>
          <t>متوسط</t>
        </is>
      </c>
      <c r="H49" s="3" t="inlineStr"/>
      <c r="I49" s="2" t="inlineStr">
        <is>
          <t>در انتظار</t>
        </is>
      </c>
      <c r="J49" s="3" t="n"/>
      <c r="K49" s="3" t="n"/>
    </row>
    <row r="50">
      <c r="A50" s="2" t="n">
        <v>49</v>
      </c>
      <c r="B50" s="3" t="inlineStr">
        <is>
          <t>مدل‌محور</t>
        </is>
      </c>
      <c r="C50" s="3" t="inlineStr">
        <is>
          <t>کارشناسی شاسی نیسان وانت</t>
        </is>
      </c>
      <c r="D50" s="3" t="inlineStr">
        <is>
          <t>کارشناسی شاسی نیسان وانت، کارشناسی شاسی نیسان</t>
        </is>
      </c>
      <c r="E50" s="3" t="inlineStr"/>
      <c r="F50" s="2" t="inlineStr">
        <is>
          <t>بله</t>
        </is>
      </c>
      <c r="G50" s="2" t="inlineStr">
        <is>
          <t>پایین</t>
        </is>
      </c>
      <c r="H50" s="3" t="inlineStr"/>
      <c r="I50" s="2" t="inlineStr">
        <is>
          <t>در انتظار</t>
        </is>
      </c>
      <c r="J50" s="3" t="n"/>
      <c r="K50" s="3" t="n"/>
    </row>
    <row r="51">
      <c r="A51" s="2" t="n">
        <v>50</v>
      </c>
      <c r="B51" s="3" t="inlineStr">
        <is>
          <t>مدل‌محور</t>
        </is>
      </c>
      <c r="C51" s="3" t="inlineStr">
        <is>
          <t>کارشناسی پژو پارس TU5: ایرادهای خاص این موتور</t>
        </is>
      </c>
      <c r="D51" s="3" t="inlineStr">
        <is>
          <t>کارشناسی پژو پارس tu5</t>
        </is>
      </c>
      <c r="E51" s="3" t="inlineStr"/>
      <c r="F51" s="2" t="inlineStr">
        <is>
          <t>بله</t>
        </is>
      </c>
      <c r="G51" s="2" t="inlineStr">
        <is>
          <t>متوسط</t>
        </is>
      </c>
      <c r="H51" s="3" t="inlineStr"/>
      <c r="I51" s="2" t="inlineStr">
        <is>
          <t>در انتظار</t>
        </is>
      </c>
      <c r="J51" s="3" t="n"/>
      <c r="K51" s="3" t="n"/>
    </row>
    <row r="52">
      <c r="A52" s="2" t="n">
        <v>51</v>
      </c>
      <c r="B52" s="3" t="inlineStr">
        <is>
          <t>مدل‌محور</t>
        </is>
      </c>
      <c r="C52" s="3" t="inlineStr">
        <is>
          <t>کارشناسی سمند EF7 دوگانه‌سوز: مخزن، انژکتور و شاسی</t>
        </is>
      </c>
      <c r="D52" s="3" t="inlineStr">
        <is>
          <t>قیمت کارشناسی خودرو سمند ef7 دوگانه، هزینه کارشناسی خودرو سمند</t>
        </is>
      </c>
      <c r="E52" s="3" t="inlineStr"/>
      <c r="F52" s="2" t="inlineStr">
        <is>
          <t>بله</t>
        </is>
      </c>
      <c r="G52" s="2" t="inlineStr">
        <is>
          <t>متوسط</t>
        </is>
      </c>
      <c r="H52" s="3" t="inlineStr"/>
      <c r="I52" s="2" t="inlineStr">
        <is>
          <t>در انتظار</t>
        </is>
      </c>
      <c r="J52" s="3" t="n"/>
      <c r="K52" s="3" t="n"/>
    </row>
    <row r="53">
      <c r="A53" s="2" t="n">
        <v>52</v>
      </c>
      <c r="B53" s="3" t="inlineStr">
        <is>
          <t>مدل‌محور</t>
        </is>
      </c>
      <c r="C53" s="3" t="inlineStr">
        <is>
          <t>کارشناسی پراید ۱۳۱، ۱۳۲ و صبا: کدام‌ها را نخریم؟</t>
        </is>
      </c>
      <c r="D53" s="3" t="inlineStr">
        <is>
          <t>کارشناسی پراید ۱۳۱، کارشناسی پراید ۱۳۲، کارشناسی پراید صبا، کارشناسی پراید وانت</t>
        </is>
      </c>
      <c r="E53" s="3" t="inlineStr"/>
      <c r="F53" s="2" t="inlineStr">
        <is>
          <t>بله</t>
        </is>
      </c>
      <c r="G53" s="2" t="inlineStr">
        <is>
          <t>متوسط</t>
        </is>
      </c>
      <c r="H53" s="3" t="inlineStr"/>
      <c r="I53" s="2" t="inlineStr">
        <is>
          <t>در انتظار</t>
        </is>
      </c>
      <c r="J53" s="3" t="n"/>
      <c r="K53" s="3" t="n"/>
    </row>
    <row r="54">
      <c r="A54" s="2" t="n">
        <v>53</v>
      </c>
      <c r="B54" s="3" t="inlineStr">
        <is>
          <t>مدل‌محور</t>
        </is>
      </c>
      <c r="C54" s="3" t="inlineStr">
        <is>
          <t>کارشناسی تیبا ۲: ایرادهای هر سال تولید (۹۶ تا ۱۴۰۰)</t>
        </is>
      </c>
      <c r="D54" s="3" t="inlineStr">
        <is>
          <t>کارشناسی تیبا ۲، قیمت کارشناسی تیبا ۲ مدل ۹۷/۹۸/۹۹</t>
        </is>
      </c>
      <c r="E54" s="3" t="inlineStr"/>
      <c r="F54" s="2" t="inlineStr">
        <is>
          <t>بله</t>
        </is>
      </c>
      <c r="G54" s="2" t="inlineStr">
        <is>
          <t>متوسط</t>
        </is>
      </c>
      <c r="H54" s="3" t="inlineStr"/>
      <c r="I54" s="2" t="inlineStr">
        <is>
          <t>در انتظار</t>
        </is>
      </c>
      <c r="J54" s="3" t="n"/>
      <c r="K54" s="3" t="n"/>
    </row>
    <row r="55">
      <c r="A55" s="2" t="n">
        <v>54</v>
      </c>
      <c r="B55" s="3" t="inlineStr">
        <is>
          <t>روایی و پرونده واقعی</t>
        </is>
      </c>
      <c r="C55" s="3" t="inlineStr">
        <is>
          <t>یک ساعت کنار کارشناس؛ روایت دقیقه‌به‌دقیقهٔ یک کارشناسی واقعی</t>
        </is>
      </c>
      <c r="D55" s="3" t="inlineStr"/>
      <c r="E55" s="3" t="inlineStr"/>
      <c r="F55" s="2" t="inlineStr">
        <is>
          <t>خیر</t>
        </is>
      </c>
      <c r="G55" s="2" t="inlineStr">
        <is>
          <t>متوسط</t>
        </is>
      </c>
      <c r="H55" s="3" t="inlineStr">
        <is>
          <t>از کارشناسی واقعی کارماچک، با عکس</t>
        </is>
      </c>
      <c r="I55" s="2" t="inlineStr">
        <is>
          <t>در انتظار</t>
        </is>
      </c>
      <c r="J55" s="3" t="n"/>
      <c r="K55" s="3" t="n"/>
    </row>
    <row r="56">
      <c r="A56" s="2" t="n">
        <v>55</v>
      </c>
      <c r="B56" s="3" t="inlineStr">
        <is>
          <t>روایی و پرونده واقعی</t>
        </is>
      </c>
      <c r="C56" s="3" t="inlineStr">
        <is>
          <t>پرونده: ۲۰۶ «بی‌رنگ» که ۴ تکه رنگ داشت؛ گزارش واقعی کارشناسی</t>
        </is>
      </c>
      <c r="D56" s="3" t="inlineStr"/>
      <c r="E56" s="3" t="inlineStr"/>
      <c r="F56" s="2" t="inlineStr">
        <is>
          <t>خیر</t>
        </is>
      </c>
      <c r="G56" s="2" t="inlineStr">
        <is>
          <t>پایین</t>
        </is>
      </c>
      <c r="H56" s="3" t="inlineStr">
        <is>
          <t>با اجازهٔ مشتری یا بدون پلاک</t>
        </is>
      </c>
      <c r="I56" s="2" t="inlineStr">
        <is>
          <t>در انتظار</t>
        </is>
      </c>
      <c r="J56" s="3" t="n"/>
      <c r="K56" s="3" t="n"/>
    </row>
    <row r="57">
      <c r="A57" s="2" t="n">
        <v>56</v>
      </c>
      <c r="B57" s="3" t="inlineStr">
        <is>
          <t>روایی و پرونده واقعی</t>
        </is>
      </c>
      <c r="C57" s="3" t="inlineStr">
        <is>
          <t>۵ ماشینی که کارشناسان ما رد کردند و دلیلش (سری ماهانه)</t>
        </is>
      </c>
      <c r="D57" s="3" t="inlineStr"/>
      <c r="E57" s="3" t="inlineStr"/>
      <c r="F57" s="2" t="inlineStr">
        <is>
          <t>خیر</t>
        </is>
      </c>
      <c r="G57" s="2" t="inlineStr">
        <is>
          <t>پایین</t>
        </is>
      </c>
      <c r="H57" s="3" t="inlineStr"/>
      <c r="I57" s="2" t="inlineStr">
        <is>
          <t>در انتظار</t>
        </is>
      </c>
      <c r="J57" s="3" t="n"/>
      <c r="K57" s="3" t="n"/>
    </row>
    <row r="58">
      <c r="A58" s="2" t="n">
        <v>57</v>
      </c>
      <c r="B58" s="3" t="inlineStr">
        <is>
          <t>ایده‌های تکمیلی</t>
        </is>
      </c>
      <c r="C58" s="3" t="inlineStr">
        <is>
          <t>کارشناسی شماره موتور خودرو: تشخیص دستکاری شماره</t>
        </is>
      </c>
      <c r="D58" s="3" t="inlineStr">
        <is>
          <t>کارشناسی شماره موتور خودرو</t>
        </is>
      </c>
      <c r="E58" s="3" t="inlineStr"/>
      <c r="F58" s="2" t="inlineStr">
        <is>
          <t>بله</t>
        </is>
      </c>
      <c r="G58" s="2" t="inlineStr">
        <is>
          <t>پایین</t>
        </is>
      </c>
      <c r="H58" s="3" t="inlineStr">
        <is>
          <t>هم‌پوشانی جزئی با بلاگ tafsir-kod-shasi-vin-khodro</t>
        </is>
      </c>
      <c r="I58" s="2" t="inlineStr">
        <is>
          <t>در انتظار</t>
        </is>
      </c>
      <c r="J58" s="3" t="n"/>
      <c r="K58" s="3" t="n"/>
    </row>
    <row r="59">
      <c r="A59" s="2" t="n">
        <v>58</v>
      </c>
      <c r="B59" s="3" t="inlineStr">
        <is>
          <t>ایده‌های تکمیلی</t>
        </is>
      </c>
      <c r="C59" s="3" t="inlineStr">
        <is>
          <t>هزینهٔ کارشناسی خودرو تصادفی</t>
        </is>
      </c>
      <c r="D59" s="3" t="inlineStr">
        <is>
          <t>هزینه کارشناسی خودرو تصادفی، کارشناسی خودرو تصادفی</t>
        </is>
      </c>
      <c r="E59" s="3" t="inlineStr"/>
      <c r="F59" s="2" t="inlineStr">
        <is>
          <t>بله</t>
        </is>
      </c>
      <c r="G59" s="2" t="inlineStr">
        <is>
          <t>پایین</t>
        </is>
      </c>
      <c r="H59" s="3" t="inlineStr"/>
      <c r="I59" s="2" t="inlineStr">
        <is>
          <t>در انتظار</t>
        </is>
      </c>
      <c r="J59" s="3" t="n"/>
      <c r="K59" s="3" t="n"/>
    </row>
    <row r="60">
      <c r="A60" s="2" t="n">
        <v>59</v>
      </c>
      <c r="B60" s="3" t="inlineStr">
        <is>
          <t>ایده‌های تکمیلی</t>
        </is>
      </c>
      <c r="C60" s="3" t="inlineStr">
        <is>
          <t>کارشناسی تخصصی خودرو در محل</t>
        </is>
      </c>
      <c r="D60" s="3" t="inlineStr">
        <is>
          <t>کارشناسی تخصصی خودرو در محل</t>
        </is>
      </c>
      <c r="E60" s="3" t="inlineStr"/>
      <c r="F60" s="2" t="inlineStr">
        <is>
          <t>بله</t>
        </is>
      </c>
      <c r="G60" s="2" t="inlineStr">
        <is>
          <t>پایین</t>
        </is>
      </c>
      <c r="H60" s="3" t="inlineStr">
        <is>
          <t>مراقب هم‌پوشانی با صفحهٔ /car-inspection</t>
        </is>
      </c>
      <c r="I60" s="2" t="inlineStr">
        <is>
          <t>در انتظار</t>
        </is>
      </c>
      <c r="J60" s="3" t="n"/>
      <c r="K60" s="3" t="n"/>
    </row>
  </sheetData>
  <autoFilter ref="A1:K60"/>
  <conditionalFormatting sqref="G2:G60">
    <cfRule type="cellIs" priority="1" operator="equal" dxfId="0">
      <formula>"بالا"</formula>
    </cfRule>
    <cfRule type="cellIs" priority="2" operator="equal" dxfId="1">
      <formula>"متوسط"</formula>
    </cfRule>
    <cfRule type="cellIs" priority="3" operator="equal" dxfId="2">
      <formula>"پایین"</formula>
    </cfRule>
  </conditionalFormatting>
  <conditionalFormatting sqref="F2:F60">
    <cfRule type="cellIs" priority="4" operator="equal" dxfId="3">
      <formula>"بله"</formula>
    </cfRule>
  </conditionalFormatting>
  <conditionalFormatting sqref="I2:I60">
    <cfRule type="cellIs" priority="5" operator="equal" dxfId="4">
      <formula>"منتشر شده"</formula>
    </cfRule>
  </conditionalFormatting>
  <dataValidations count="1">
    <dataValidation sqref="I2:I60" showDropDown="0" showInputMessage="0" showErrorMessage="0" allowBlank="1" type="list">
      <formula1>"در انتظار,در حال نوشتن,نوشته شده,منتشر شده"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62" customWidth="1" min="3" max="3"/>
    <col width="58" customWidth="1" min="4" max="4"/>
    <col width="36" customWidth="1" min="5" max="5"/>
    <col width="14" customWidth="1" min="6" max="6"/>
    <col width="10" customWidth="1" min="7" max="7"/>
    <col width="44" customWidth="1" min="8" max="8"/>
    <col width="12" customWidth="1" min="9" max="9"/>
    <col width="26" customWidth="1" min="10" max="10"/>
    <col width="14" customWidth="1" min="11" max="11"/>
  </cols>
  <sheetData>
    <row r="1">
      <c r="A1" s="1" t="inlineStr">
        <is>
          <t>ردیف</t>
        </is>
      </c>
      <c r="B1" s="1" t="inlineStr">
        <is>
          <t>دسته</t>
        </is>
      </c>
      <c r="C1" s="1" t="inlineStr">
        <is>
          <t>عنوان بلاگ</t>
        </is>
      </c>
      <c r="D1" s="1" t="inlineStr">
        <is>
          <t>عبارت‌های هدف (از گوگل)</t>
        </is>
      </c>
      <c r="E1" s="1" t="inlineStr">
        <is>
          <t>ارزش برای کاربر</t>
        </is>
      </c>
      <c r="F1" s="1" t="inlineStr">
        <is>
          <t>تأیید در Autocomplete</t>
        </is>
      </c>
      <c r="G1" s="1" t="inlineStr">
        <is>
          <t>اولویت</t>
        </is>
      </c>
      <c r="H1" s="1" t="inlineStr">
        <is>
          <t>یادداشت / ادغام</t>
        </is>
      </c>
      <c r="I1" s="1" t="inlineStr">
        <is>
          <t>وضعیت</t>
        </is>
      </c>
      <c r="J1" s="1" t="inlineStr">
        <is>
          <t>پوشه</t>
        </is>
      </c>
      <c r="K1" s="1" t="inlineStr">
        <is>
          <t>تاریخ انتشار</t>
        </is>
      </c>
    </row>
    <row r="2">
      <c r="A2" s="2" t="n">
        <v>1</v>
      </c>
      <c r="B2" s="3" t="inlineStr">
        <is>
          <t>شرق تهران</t>
        </is>
      </c>
      <c r="C2" s="3" t="inlineStr">
        <is>
          <t>کارشناسی رنگ خودرو در شرق تهران: پیروزی، نارمک، حکیمیه، تهرانپارس</t>
        </is>
      </c>
      <c r="D2" s="3" t="inlineStr">
        <is>
          <t>کارشناسی رنگ خودرو شرق تهران، کارشناسی رنگ خودرو پیروزی/نارمک/حکیمیه/پاسداران</t>
        </is>
      </c>
      <c r="E2" s="3" t="inlineStr"/>
      <c r="F2" s="2" t="inlineStr">
        <is>
          <t>بله</t>
        </is>
      </c>
      <c r="G2" s="2" t="inlineStr">
        <is>
          <t>بالا</t>
        </is>
      </c>
      <c r="H2" s="3" t="inlineStr"/>
      <c r="I2" s="2" t="inlineStr">
        <is>
          <t>در انتظار</t>
        </is>
      </c>
      <c r="J2" s="3" t="n"/>
      <c r="K2" s="3" t="n"/>
    </row>
    <row r="3">
      <c r="A3" s="2" t="n">
        <v>2</v>
      </c>
      <c r="B3" s="3" t="inlineStr">
        <is>
          <t>شرق تهران</t>
        </is>
      </c>
      <c r="C3" s="3" t="inlineStr">
        <is>
          <t>مراکز تعویض پلاک شرق تهران: آدرس، نوبت‌گیری، مدارک و هزینه</t>
        </is>
      </c>
      <c r="D3" s="3" t="inlineStr">
        <is>
          <t>تعویض پلاک شرق تهران آدرس، مرکز تعویض پلاک شرق تهران، نوبت تعویض پلاک شرق تهران</t>
        </is>
      </c>
      <c r="E3" s="3" t="inlineStr"/>
      <c r="F3" s="2" t="inlineStr">
        <is>
          <t>بله</t>
        </is>
      </c>
      <c r="G3" s="2" t="inlineStr">
        <is>
          <t>بالا</t>
        </is>
      </c>
      <c r="H3" s="3" t="inlineStr">
        <is>
          <t>آدرس و ساعت کاری از منبع رسمی راهور چک شود</t>
        </is>
      </c>
      <c r="I3" s="2" t="inlineStr">
        <is>
          <t>در انتظار</t>
        </is>
      </c>
      <c r="J3" s="3" t="n"/>
      <c r="K3" s="3" t="n"/>
    </row>
    <row r="4">
      <c r="A4" s="2" t="n">
        <v>3</v>
      </c>
      <c r="B4" s="3" t="inlineStr">
        <is>
          <t>شرق تهران</t>
        </is>
      </c>
      <c r="C4" s="3" t="inlineStr">
        <is>
          <t>بهترین کارشناسی خودرو شرق تهران: مرکز حضوری یا کارشناس در محل؟</t>
        </is>
      </c>
      <c r="D4" s="3" t="inlineStr">
        <is>
          <t>بهترین کارشناسی خودرو شرق تهران، مرکز کارشناسی خودرو شرق تهران</t>
        </is>
      </c>
      <c r="E4" s="3" t="inlineStr"/>
      <c r="F4" s="2" t="inlineStr">
        <is>
          <t>بله</t>
        </is>
      </c>
      <c r="G4" s="2" t="inlineStr">
        <is>
          <t>بالا</t>
        </is>
      </c>
      <c r="H4" s="3" t="inlineStr">
        <is>
          <t>عبارت خالی «کارشناسی خودرو شرق تهران» مال صفحهٔ /shargh-tehran است</t>
        </is>
      </c>
      <c r="I4" s="2" t="inlineStr">
        <is>
          <t>در انتظار</t>
        </is>
      </c>
      <c r="J4" s="3" t="n"/>
      <c r="K4" s="3" t="n"/>
    </row>
    <row r="5">
      <c r="A5" s="2" t="n">
        <v>4</v>
      </c>
      <c r="B5" s="3" t="inlineStr">
        <is>
          <t>شرق تهران</t>
        </is>
      </c>
      <c r="C5" s="3" t="inlineStr">
        <is>
          <t>کارشناسی خودرو تهرانپارس شرقی و غربی: کجا ماشین را بررسی کنیم؟</t>
        </is>
      </c>
      <c r="D5" s="3" t="inlineStr">
        <is>
          <t>کارشناسی خودرو تهرانپارس غربی/شرقی، مرکز کارشناسی خودرو تهرانپارس، کارشناسی خودرو تهران پارس منطقه ۸</t>
        </is>
      </c>
      <c r="E5" s="3" t="inlineStr"/>
      <c r="F5" s="2" t="inlineStr">
        <is>
          <t>بله</t>
        </is>
      </c>
      <c r="G5" s="2" t="inlineStr">
        <is>
          <t>متوسط</t>
        </is>
      </c>
      <c r="H5" s="3" t="inlineStr"/>
      <c r="I5" s="2" t="inlineStr">
        <is>
          <t>در انتظار</t>
        </is>
      </c>
      <c r="J5" s="3" t="n"/>
      <c r="K5" s="3" t="n"/>
    </row>
    <row r="6">
      <c r="A6" s="2" t="n">
        <v>5</v>
      </c>
      <c r="B6" s="3" t="inlineStr">
        <is>
          <t>شرق تهران</t>
        </is>
      </c>
      <c r="C6" s="3" t="inlineStr">
        <is>
          <t>کارشناسی خودرو خیابان پیروزی و مجیدیه</t>
        </is>
      </c>
      <c r="D6" s="3" t="inlineStr">
        <is>
          <t>کارشناسی خودرو خیابان پیروزی، کارشناسی خودرو مجیدیه</t>
        </is>
      </c>
      <c r="E6" s="3" t="inlineStr"/>
      <c r="F6" s="2" t="inlineStr">
        <is>
          <t>بله</t>
        </is>
      </c>
      <c r="G6" s="2" t="inlineStr">
        <is>
          <t>متوسط</t>
        </is>
      </c>
      <c r="H6" s="3" t="inlineStr"/>
      <c r="I6" s="2" t="inlineStr">
        <is>
          <t>در انتظار</t>
        </is>
      </c>
      <c r="J6" s="3" t="n"/>
      <c r="K6" s="3" t="n"/>
    </row>
    <row r="7">
      <c r="A7" s="2" t="n">
        <v>6</v>
      </c>
      <c r="B7" s="3" t="inlineStr">
        <is>
          <t>شرق تهران</t>
        </is>
      </c>
      <c r="C7" s="3" t="inlineStr">
        <is>
          <t>جمعه‌بازار ماشین شرق تهران و نمایشگاه‌های تهرانپارس</t>
        </is>
      </c>
      <c r="D7" s="3" t="inlineStr">
        <is>
          <t>جمعه بازار ماشین شرق تهران، نمایشگاه ماشین تهرانپارس، بورس نمایشگاه ماشین تهرانپارس</t>
        </is>
      </c>
      <c r="E7" s="3" t="inlineStr"/>
      <c r="F7" s="2" t="inlineStr">
        <is>
          <t>بله</t>
        </is>
      </c>
      <c r="G7" s="2" t="inlineStr">
        <is>
          <t>متوسط</t>
        </is>
      </c>
      <c r="H7" s="3" t="inlineStr"/>
      <c r="I7" s="2" t="inlineStr">
        <is>
          <t>در انتظار</t>
        </is>
      </c>
      <c r="J7" s="3" t="n"/>
      <c r="K7" s="3" t="n"/>
    </row>
    <row r="8">
      <c r="A8" s="2" t="n">
        <v>7</v>
      </c>
      <c r="B8" s="3" t="inlineStr">
        <is>
          <t>شرق تهران</t>
        </is>
      </c>
      <c r="C8" s="3" t="inlineStr">
        <is>
          <t>کارشناسی خودرو منطقهٔ ۴، ۸ و ۱۳ تهران</t>
        </is>
      </c>
      <c r="D8" s="3" t="inlineStr">
        <is>
          <t>کارشناسی خودرو منطقه X (الگو)</t>
        </is>
      </c>
      <c r="E8" s="3" t="inlineStr"/>
      <c r="F8" s="2" t="inlineStr">
        <is>
          <t>جزئی</t>
        </is>
      </c>
      <c r="G8" s="2" t="inlineStr">
        <is>
          <t>پایین</t>
        </is>
      </c>
      <c r="H8" s="3" t="inlineStr">
        <is>
          <t>فقط الگو دیده شد؛ حجم احتمالاً کمتر</t>
        </is>
      </c>
      <c r="I8" s="2" t="inlineStr">
        <is>
          <t>در انتظار</t>
        </is>
      </c>
      <c r="J8" s="3" t="n"/>
      <c r="K8" s="3" t="n"/>
    </row>
  </sheetData>
  <autoFilter ref="A1:K8"/>
  <conditionalFormatting sqref="G2:G8">
    <cfRule type="cellIs" priority="1" operator="equal" dxfId="0">
      <formula>"بالا"</formula>
    </cfRule>
    <cfRule type="cellIs" priority="2" operator="equal" dxfId="1">
      <formula>"متوسط"</formula>
    </cfRule>
    <cfRule type="cellIs" priority="3" operator="equal" dxfId="2">
      <formula>"پایین"</formula>
    </cfRule>
  </conditionalFormatting>
  <conditionalFormatting sqref="F2:F8">
    <cfRule type="cellIs" priority="4" operator="equal" dxfId="3">
      <formula>"بله"</formula>
    </cfRule>
  </conditionalFormatting>
  <conditionalFormatting sqref="I2:I8">
    <cfRule type="cellIs" priority="5" operator="equal" dxfId="4">
      <formula>"منتشر شده"</formula>
    </cfRule>
  </conditionalFormatting>
  <dataValidations count="1">
    <dataValidation sqref="I2:I8" showDropDown="0" showInputMessage="0" showErrorMessage="0" allowBlank="1" type="list">
      <formula1>"در انتظار,در حال نوشتن,نوشته شده,منتشر شده"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4" t="inlineStr">
        <is>
          <t>خلاصه</t>
        </is>
      </c>
    </row>
    <row r="2">
      <c r="A2" s="4" t="inlineStr"/>
      <c r="B2" s="4" t="inlineStr">
        <is>
          <t>در محل</t>
        </is>
      </c>
      <c r="C2" s="4" t="inlineStr">
        <is>
          <t>شرق تهران</t>
        </is>
      </c>
    </row>
    <row r="3">
      <c r="A3" s="5" t="inlineStr">
        <is>
          <t>کل موضوعات</t>
        </is>
      </c>
      <c r="B3" s="5">
        <f>COUNTA('کارشناسی در محل'!C2:C200)</f>
        <v/>
      </c>
      <c r="C3" s="5">
        <f>COUNTA('شرق تهران'!C2:C200)</f>
        <v/>
      </c>
    </row>
    <row r="4">
      <c r="A4" s="5" t="inlineStr">
        <is>
          <t>اولویت بالا</t>
        </is>
      </c>
      <c r="B4" s="5">
        <f>COUNTIF('کارشناسی در محل'!G2:G200,"بالا")</f>
        <v/>
      </c>
      <c r="C4" s="5">
        <f>COUNTIF('شرق تهران'!G2:G200,"بالا")</f>
        <v/>
      </c>
    </row>
    <row r="5">
      <c r="A5" s="5" t="inlineStr">
        <is>
          <t>اولویت متوسط</t>
        </is>
      </c>
      <c r="B5" s="5">
        <f>COUNTIF('کارشناسی در محل'!G2:G200,"متوسط")</f>
        <v/>
      </c>
      <c r="C5" s="5">
        <f>COUNTIF('شرق تهران'!G2:G200,"متوسط")</f>
        <v/>
      </c>
    </row>
    <row r="6">
      <c r="A6" s="5" t="inlineStr">
        <is>
          <t>اولویت پایین</t>
        </is>
      </c>
      <c r="B6" s="5">
        <f>COUNTIF('کارشناسی در محل'!G2:G200,"پایین")</f>
        <v/>
      </c>
      <c r="C6" s="5">
        <f>COUNTIF('شرق تهران'!G2:G200,"پایین")</f>
        <v/>
      </c>
    </row>
    <row r="7">
      <c r="A7" s="5" t="inlineStr">
        <is>
          <t>تأییدشده در Autocomplete گوگل</t>
        </is>
      </c>
      <c r="B7" s="5">
        <f>COUNTIF('کارشناسی در محل'!F2:F200,"بله")</f>
        <v/>
      </c>
      <c r="C7" s="5">
        <f>COUNTIF('شرق تهران'!F2:F200,"بله")</f>
        <v/>
      </c>
    </row>
    <row r="8">
      <c r="A8" s="5" t="inlineStr">
        <is>
          <t>وضعیت: در انتظار</t>
        </is>
      </c>
      <c r="B8" s="5">
        <f>COUNTIF('کارشناسی در محل'!I2:I200,"در انتظار")</f>
        <v/>
      </c>
      <c r="C8" s="5">
        <f>COUNTIF('شرق تهران'!I2:I200,"در انتظار")</f>
        <v/>
      </c>
    </row>
    <row r="9">
      <c r="A9" s="5" t="inlineStr">
        <is>
          <t>وضعیت: نوشته شده</t>
        </is>
      </c>
      <c r="B9" s="5">
        <f>COUNTIF('کارشناسی در محل'!I2:I200,"نوشته شده")</f>
        <v/>
      </c>
      <c r="C9" s="5">
        <f>COUNTIF('شرق تهران'!I2:I200,"نوشته شده")</f>
        <v/>
      </c>
    </row>
    <row r="10">
      <c r="A10" s="5" t="inlineStr">
        <is>
          <t>وضعیت: منتشر شده</t>
        </is>
      </c>
      <c r="B10" s="5">
        <f>COUNTIF('کارشناسی در محل'!I2:I200,"منتشر شده")</f>
        <v/>
      </c>
      <c r="C10" s="5">
        <f>COUNTIF('شرق تهران'!I2:I200,"منتشر شده")</f>
        <v/>
      </c>
    </row>
    <row r="12">
      <c r="A12" s="4" t="inlineStr">
        <is>
          <t>راهنما</t>
        </is>
      </c>
    </row>
    <row r="13" ht="30" customHeight="1">
      <c r="A13" s="5" t="inlineStr">
        <is>
          <t>• ستون «وضعیت» را از فهرست کشویی تغییر دهید؛ «پوشه» و «تاریخ انتشار» را بعد از انتشار پر کنید.</t>
        </is>
      </c>
    </row>
    <row r="14" ht="30" customHeight="1">
      <c r="A14" s="5" t="inlineStr">
        <is>
          <t>• «تأیید در Autocomplete» = عبارت در پیشنهادهای خودکار گوگل دیده شده (مهر ۱۴۰۵). عدد دقیق حجم جست‌وجو نیست.</t>
        </is>
      </c>
    </row>
    <row r="15" ht="30" customHeight="1">
      <c r="A15" s="5" t="inlineStr">
        <is>
          <t>• هیچ بلاگی تیترش دقیقاً «کارشناسی خودرو در محل» نباشد؛ آن کلمه مال صفحهٔ /car-inspection است.</t>
        </is>
      </c>
    </row>
    <row r="16" ht="30" customHeight="1">
      <c r="A16" s="5" t="inlineStr">
        <is>
          <t>• همهٔ بلاگ‌ها به /car-inspection با متن لینک متنوع («کارشناسی خودرو در محل»، «کارشناس خودرو سیار»، …) لینک بدهند.</t>
        </is>
      </c>
    </row>
    <row r="17" ht="30" customHeight="1">
      <c r="A17" s="5" t="inlineStr">
        <is>
          <t>• «کارشناسی خودرو سیار» را به Title و یک H2 صفحهٔ /car-inspection اضافه کنید، نه بلاگ جدا.</t>
        </is>
      </c>
    </row>
    <row r="18" ht="30" customHeight="1">
      <c r="A18" s="5" t="inlineStr">
        <is>
          <t>• قیمت‌ها، قوانین، آدرس‌ها و سامانه‌ها موقع نوشتن از منبع رسمی و به‌روز چک شوند.</t>
        </is>
      </c>
    </row>
    <row r="19" ht="30" customHeight="1">
      <c r="A19" s="5" t="inlineStr">
        <is>
          <t>• ردیف‌هایی که در ستون «یادداشت» عبارت «ادغام» دارند، دو موضوع قبلی را یکی کرده‌اند.</t>
        </is>
      </c>
    </row>
  </sheetData>
  <mergeCells count="7">
    <mergeCell ref="A13:C13"/>
    <mergeCell ref="A19:C19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2026-09-27T16:35:55Z</dcterms:created>
  <dcterms:modified xsi:type="dcterms:W3CDTF">2026-09-27T16:35:55Z</dcterms:modified>
</cp:coreProperties>
</file>